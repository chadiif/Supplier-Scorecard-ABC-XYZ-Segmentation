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ragu\Downloads\"/>
    </mc:Choice>
  </mc:AlternateContent>
  <xr:revisionPtr revIDLastSave="0" documentId="13_ncr:1_{73A721F4-433D-46DD-807E-7C464DB52023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Supplier_ABC_XYZ" sheetId="1" r:id="rId1"/>
  </sheets>
  <calcPr calcId="191029"/>
</workbook>
</file>

<file path=xl/calcChain.xml><?xml version="1.0" encoding="utf-8"?>
<calcChain xmlns="http://schemas.openxmlformats.org/spreadsheetml/2006/main">
  <c r="J4" i="1" l="1"/>
  <c r="J5" i="1"/>
  <c r="J6" i="1"/>
  <c r="J7" i="1"/>
  <c r="J3" i="1"/>
  <c r="I4" i="1"/>
  <c r="I5" i="1"/>
  <c r="I6" i="1"/>
  <c r="I7" i="1"/>
  <c r="I3" i="1"/>
</calcChain>
</file>

<file path=xl/sharedStrings.xml><?xml version="1.0" encoding="utf-8"?>
<sst xmlns="http://schemas.openxmlformats.org/spreadsheetml/2006/main" count="59" uniqueCount="50">
  <si>
    <t>Supplier_ID</t>
  </si>
  <si>
    <t>Supplier_Name</t>
  </si>
  <si>
    <t>Category</t>
  </si>
  <si>
    <t>Total_Orders</t>
  </si>
  <si>
    <t>On_Time_Deliveries</t>
  </si>
  <si>
    <t>Quality_Passed_Units</t>
  </si>
  <si>
    <t>Total_Units_Received</t>
  </si>
  <si>
    <t>Avg_Lead_Time_Days</t>
  </si>
  <si>
    <t>SUP-101</t>
  </si>
  <si>
    <t>Apex Industrial Parts</t>
  </si>
  <si>
    <t>Raw Materials</t>
  </si>
  <si>
    <t>SUP-102</t>
  </si>
  <si>
    <t>Vanguard Logistics</t>
  </si>
  <si>
    <t>Packaging</t>
  </si>
  <si>
    <t>SUP-103</t>
  </si>
  <si>
    <t>Titan Components</t>
  </si>
  <si>
    <t>Electronics</t>
  </si>
  <si>
    <t>SUP-104</t>
  </si>
  <si>
    <t>Prime Steel Co.</t>
  </si>
  <si>
    <t>SUP-105</t>
  </si>
  <si>
    <t>Swift Freight Hub</t>
  </si>
  <si>
    <t>Logistics Services</t>
  </si>
  <si>
    <t>SKU_ID</t>
  </si>
  <si>
    <t>Item_Description</t>
  </si>
  <si>
    <t>Annual_Spend_USD</t>
  </si>
  <si>
    <t>Demand_Variability_CV</t>
  </si>
  <si>
    <t>ABC_Class</t>
  </si>
  <si>
    <t>XYZ_Class</t>
  </si>
  <si>
    <t>SKU-501</t>
  </si>
  <si>
    <t>Hydraulic Actuator Valve</t>
  </si>
  <si>
    <t>A</t>
  </si>
  <si>
    <t>X</t>
  </si>
  <si>
    <t>SKU-502</t>
  </si>
  <si>
    <t>Heavy Duty Steel Bracket</t>
  </si>
  <si>
    <t>Y</t>
  </si>
  <si>
    <t>SKU-503</t>
  </si>
  <si>
    <t>Custom O-Ring Seal Kit</t>
  </si>
  <si>
    <t>B</t>
  </si>
  <si>
    <t>Z</t>
  </si>
  <si>
    <t>SKU-504</t>
  </si>
  <si>
    <t>Corrugated Shipping Box</t>
  </si>
  <si>
    <t>SKU-505</t>
  </si>
  <si>
    <t>Specialty Microchip PCB</t>
  </si>
  <si>
    <t>SKU-506</t>
  </si>
  <si>
    <t>Industrial Fastener Bolt</t>
  </si>
  <si>
    <t>C</t>
  </si>
  <si>
    <t>SKU-507</t>
  </si>
  <si>
    <t>Packing Stretch Film</t>
  </si>
  <si>
    <t>On-Time Delivery Rate (%)</t>
  </si>
  <si>
    <r>
      <t>Quality Acceptance Rate (%)</t>
    </r>
    <r>
      <rPr>
        <sz val="10"/>
        <color rgb="FF000000"/>
        <rFont val="Arial"/>
        <family val="2"/>
        <scheme val="minor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</si>
</sst>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color rgb="FF171C1B"/>
      <name val="Roboto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6F7875"/>
      </left>
      <right style="thin">
        <color rgb="FF6F7875"/>
      </right>
      <top style="thin">
        <color rgb="FF6F7875"/>
      </top>
      <bottom style="thin">
        <color rgb="FF6F7875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/>
    <xf numFmtId="9" fontId="0" fillId="0" borderId="0" xfId="1" applyFont="1" applyAlignment="1"/>
  </cellXfs>
  <cellStyles count="2">
    <cellStyle name="Normal" xfId="0" builtinId="0"/>
    <cellStyle name="Percent" xfId="1" builtinId="5"/>
  </cellStyles>
  <dxfs count="8">
    <dxf>
      <numFmt numFmtId="0" formatCode="General"/>
    </dxf>
    <dxf>
      <numFmt numFmtId="0" formatCode="General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FAF7"/>
          <bgColor rgb="FFF4FAF7"/>
        </patternFill>
      </fill>
    </dxf>
    <dxf>
      <fill>
        <patternFill patternType="solid">
          <fgColor rgb="FF006A5D"/>
          <bgColor rgb="FF006A5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FAF7"/>
          <bgColor rgb="FFF4FAF7"/>
        </patternFill>
      </fill>
    </dxf>
    <dxf>
      <fill>
        <patternFill patternType="solid">
          <fgColor rgb="FF006A5D"/>
          <bgColor rgb="FF006A5D"/>
        </patternFill>
      </fill>
    </dxf>
  </dxfs>
  <tableStyles count="2">
    <tableStyle name="Supplier_ABC_XYZ-style" pivot="0" count="3" xr9:uid="{00000000-0011-0000-FFFF-FFFF00000000}">
      <tableStyleElement type="headerRow" dxfId="7"/>
      <tableStyleElement type="firstRowStripe" dxfId="6"/>
      <tableStyleElement type="secondRowStripe" dxfId="5"/>
    </tableStyle>
    <tableStyle name="Supplier_ABC_XYZ-style 2" pivot="0" count="3" xr9:uid="{00000000-0011-0000-FFFF-FFFF01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Supplier Performance Scorecard: OTIF &amp; Quality Compliance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Supplier_ABC_XYZ!$I$2</c:f>
              <c:strCache>
                <c:ptCount val="1"/>
                <c:pt idx="0">
                  <c:v>On-Time Delivery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Supplier_ABC_XYZ!$B$3:$B$7</c:f>
              <c:strCache>
                <c:ptCount val="5"/>
                <c:pt idx="0">
                  <c:v>Apex Industrial Parts</c:v>
                </c:pt>
                <c:pt idx="1">
                  <c:v>Vanguard Logistics</c:v>
                </c:pt>
                <c:pt idx="2">
                  <c:v>Titan Components</c:v>
                </c:pt>
                <c:pt idx="3">
                  <c:v>Prime Steel Co.</c:v>
                </c:pt>
                <c:pt idx="4">
                  <c:v>Swift Freight Hub</c:v>
                </c:pt>
              </c:strCache>
            </c:strRef>
          </c:cat>
          <c:val>
            <c:numRef>
              <c:f>Supplier_ABC_XYZ!$I$3:$I$7</c:f>
              <c:numCache>
                <c:formatCode>0%</c:formatCode>
                <c:ptCount val="5"/>
                <c:pt idx="0">
                  <c:v>0.93333333333333335</c:v>
                </c:pt>
                <c:pt idx="1">
                  <c:v>0.96666666666666667</c:v>
                </c:pt>
                <c:pt idx="2">
                  <c:v>0.8</c:v>
                </c:pt>
                <c:pt idx="3">
                  <c:v>0.98</c:v>
                </c:pt>
                <c:pt idx="4">
                  <c:v>0.97499999999999998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5-45C0-B5E0-60CA8E5CA8D8}"/>
            </c:ext>
          </c:extLst>
        </c:ser>
        <c:ser>
          <c:idx val="1"/>
          <c:order val="1"/>
          <c:tx>
            <c:strRef>
              <c:f>Supplier_ABC_XYZ!$J$2</c:f>
              <c:strCache>
                <c:ptCount val="1"/>
                <c:pt idx="0">
                  <c:v>Quality Acceptance Rate (%):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Supplier_ABC_XYZ!$B$3:$B$7</c:f>
              <c:strCache>
                <c:ptCount val="5"/>
                <c:pt idx="0">
                  <c:v>Apex Industrial Parts</c:v>
                </c:pt>
                <c:pt idx="1">
                  <c:v>Vanguard Logistics</c:v>
                </c:pt>
                <c:pt idx="2">
                  <c:v>Titan Components</c:v>
                </c:pt>
                <c:pt idx="3">
                  <c:v>Prime Steel Co.</c:v>
                </c:pt>
                <c:pt idx="4">
                  <c:v>Swift Freight Hub</c:v>
                </c:pt>
              </c:strCache>
            </c:strRef>
          </c:cat>
          <c:val>
            <c:numRef>
              <c:f>Supplier_ABC_XYZ!$J$3:$J$7</c:f>
              <c:numCache>
                <c:formatCode>0%</c:formatCode>
                <c:ptCount val="5"/>
                <c:pt idx="0">
                  <c:v>0.98333333333333328</c:v>
                </c:pt>
                <c:pt idx="1">
                  <c:v>0.98</c:v>
                </c:pt>
                <c:pt idx="2">
                  <c:v>0.96</c:v>
                </c:pt>
                <c:pt idx="3">
                  <c:v>0.995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5-45C0-B5E0-60CA8E5CA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317135"/>
        <c:axId val="334827343"/>
      </c:barChart>
      <c:catAx>
        <c:axId val="33331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827343"/>
        <c:crosses val="autoZero"/>
        <c:auto val="1"/>
        <c:lblAlgn val="ctr"/>
        <c:lblOffset val="100"/>
        <c:noMultiLvlLbl val="0"/>
      </c:catAx>
      <c:valAx>
        <c:axId val="33482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31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15239</xdr:colOff>
      <xdr:row>7</xdr:row>
      <xdr:rowOff>190500</xdr:rowOff>
    </xdr:from>
    <xdr:to>
      <xdr:col>9</xdr:col>
      <xdr:colOff>1937656</xdr:colOff>
      <xdr:row>24</xdr:row>
      <xdr:rowOff>174171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0E15CD-E022-498A-9398-7EF4D121A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J7">
  <tableColumns count="10">
    <tableColumn id="1" xr3:uid="{00000000-0010-0000-0000-000001000000}" name="Supplier_ID"/>
    <tableColumn id="2" xr3:uid="{00000000-0010-0000-0000-000002000000}" name="Supplier_Name"/>
    <tableColumn id="3" xr3:uid="{00000000-0010-0000-0000-000003000000}" name="Category"/>
    <tableColumn id="4" xr3:uid="{00000000-0010-0000-0000-000004000000}" name="Total_Orders"/>
    <tableColumn id="5" xr3:uid="{00000000-0010-0000-0000-000005000000}" name="On_Time_Deliveries"/>
    <tableColumn id="6" xr3:uid="{00000000-0010-0000-0000-000006000000}" name="Quality_Passed_Units"/>
    <tableColumn id="7" xr3:uid="{00000000-0010-0000-0000-000007000000}" name="Total_Units_Received"/>
    <tableColumn id="8" xr3:uid="{00000000-0010-0000-0000-000008000000}" name="Avg_Lead_Time_Days"/>
    <tableColumn id="9" xr3:uid="{D3999B1C-8397-45C4-9C6A-49FCA6BFF1A0}" name="On-Time Delivery Rate (%)" dataDxfId="1">
      <calculatedColumnFormula>E3/D3</calculatedColumnFormula>
    </tableColumn>
    <tableColumn id="10" xr3:uid="{49BAC679-136C-4858-A6DD-39BBA1A55F6A}" name="Quality Acceptance Rate (%):" dataDxfId="0">
      <calculatedColumnFormula>F3/G3</calculatedColumnFormula>
    </tableColumn>
  </tableColumns>
  <tableStyleInfo name="Supplier_ABC_XYZ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1:F18">
  <tableColumns count="6">
    <tableColumn id="1" xr3:uid="{00000000-0010-0000-0100-000001000000}" name="SKU_ID"/>
    <tableColumn id="2" xr3:uid="{00000000-0010-0000-0100-000002000000}" name="Item_Description"/>
    <tableColumn id="3" xr3:uid="{00000000-0010-0000-0100-000003000000}" name="Annual_Spend_USD"/>
    <tableColumn id="4" xr3:uid="{00000000-0010-0000-0100-000004000000}" name="Demand_Variability_CV"/>
    <tableColumn id="5" xr3:uid="{00000000-0010-0000-0100-000005000000}" name="ABC_Class"/>
    <tableColumn id="6" xr3:uid="{00000000-0010-0000-0100-000006000000}" name="XYZ_Class"/>
  </tableColumns>
  <tableStyleInfo name="Supplier_ABC_XYZ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J18"/>
  <sheetViews>
    <sheetView tabSelected="1" zoomScale="70" zoomScaleNormal="70" workbookViewId="0">
      <selection activeCell="J31" sqref="J31"/>
    </sheetView>
  </sheetViews>
  <sheetFormatPr defaultColWidth="12.6640625" defaultRowHeight="15.75" customHeight="1"/>
  <cols>
    <col min="1" max="1" width="12.21875" customWidth="1"/>
    <col min="2" max="2" width="23.88671875" customWidth="1"/>
    <col min="3" max="3" width="20.77734375" customWidth="1"/>
    <col min="4" max="4" width="24.6640625" customWidth="1"/>
    <col min="5" max="5" width="25.44140625" customWidth="1"/>
    <col min="6" max="6" width="22.44140625" customWidth="1"/>
    <col min="7" max="7" width="23.6640625" customWidth="1"/>
    <col min="8" max="8" width="24.21875" customWidth="1"/>
    <col min="9" max="9" width="26.88671875" customWidth="1"/>
    <col min="10" max="10" width="28.44140625" customWidth="1"/>
  </cols>
  <sheetData>
    <row r="2" spans="1:1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48</v>
      </c>
      <c r="J2" s="1" t="s">
        <v>49</v>
      </c>
    </row>
    <row r="3" spans="1:10">
      <c r="A3" s="2" t="s">
        <v>8</v>
      </c>
      <c r="B3" s="2" t="s">
        <v>9</v>
      </c>
      <c r="C3" s="2" t="s">
        <v>10</v>
      </c>
      <c r="D3" s="3">
        <v>45</v>
      </c>
      <c r="E3" s="3">
        <v>42</v>
      </c>
      <c r="F3" s="3">
        <v>11800</v>
      </c>
      <c r="G3" s="3">
        <v>12000</v>
      </c>
      <c r="H3" s="3">
        <v>14.2</v>
      </c>
      <c r="I3" s="4">
        <f t="shared" ref="I3:I7" si="0">E3/D3</f>
        <v>0.93333333333333335</v>
      </c>
      <c r="J3" s="4">
        <f t="shared" ref="J3:J7" si="1">F3/G3</f>
        <v>0.98333333333333328</v>
      </c>
    </row>
    <row r="4" spans="1:10">
      <c r="A4" s="2" t="s">
        <v>11</v>
      </c>
      <c r="B4" s="2" t="s">
        <v>12</v>
      </c>
      <c r="C4" s="2" t="s">
        <v>13</v>
      </c>
      <c r="D4" s="3">
        <v>60</v>
      </c>
      <c r="E4" s="3">
        <v>58</v>
      </c>
      <c r="F4" s="3">
        <v>24500</v>
      </c>
      <c r="G4" s="3">
        <v>25000</v>
      </c>
      <c r="H4" s="3">
        <v>5.5</v>
      </c>
      <c r="I4" s="4">
        <f t="shared" si="0"/>
        <v>0.96666666666666667</v>
      </c>
      <c r="J4" s="4">
        <f t="shared" si="1"/>
        <v>0.98</v>
      </c>
    </row>
    <row r="5" spans="1:10">
      <c r="A5" s="2" t="s">
        <v>14</v>
      </c>
      <c r="B5" s="2" t="s">
        <v>15</v>
      </c>
      <c r="C5" s="2" t="s">
        <v>16</v>
      </c>
      <c r="D5" s="3">
        <v>30</v>
      </c>
      <c r="E5" s="3">
        <v>24</v>
      </c>
      <c r="F5" s="3">
        <v>4800</v>
      </c>
      <c r="G5" s="3">
        <v>5000</v>
      </c>
      <c r="H5" s="3">
        <v>21</v>
      </c>
      <c r="I5" s="4">
        <f t="shared" si="0"/>
        <v>0.8</v>
      </c>
      <c r="J5" s="4">
        <f t="shared" si="1"/>
        <v>0.96</v>
      </c>
    </row>
    <row r="6" spans="1:10">
      <c r="A6" s="2" t="s">
        <v>17</v>
      </c>
      <c r="B6" s="2" t="s">
        <v>18</v>
      </c>
      <c r="C6" s="2" t="s">
        <v>10</v>
      </c>
      <c r="D6" s="3">
        <v>50</v>
      </c>
      <c r="E6" s="3">
        <v>49</v>
      </c>
      <c r="F6" s="3">
        <v>39800</v>
      </c>
      <c r="G6" s="3">
        <v>40000</v>
      </c>
      <c r="H6" s="3">
        <v>18.5</v>
      </c>
      <c r="I6" s="4">
        <f t="shared" si="0"/>
        <v>0.98</v>
      </c>
      <c r="J6" s="4">
        <f t="shared" si="1"/>
        <v>0.995</v>
      </c>
    </row>
    <row r="7" spans="1:10">
      <c r="A7" s="2" t="s">
        <v>19</v>
      </c>
      <c r="B7" s="2" t="s">
        <v>20</v>
      </c>
      <c r="C7" s="2" t="s">
        <v>21</v>
      </c>
      <c r="D7" s="3">
        <v>80</v>
      </c>
      <c r="E7" s="3">
        <v>78</v>
      </c>
      <c r="F7" s="3">
        <v>15000</v>
      </c>
      <c r="G7" s="3">
        <v>15000</v>
      </c>
      <c r="H7" s="3">
        <v>3</v>
      </c>
      <c r="I7" s="4">
        <f t="shared" si="0"/>
        <v>0.97499999999999998</v>
      </c>
      <c r="J7" s="4">
        <f t="shared" si="1"/>
        <v>1</v>
      </c>
    </row>
    <row r="11" spans="1:10">
      <c r="A11" s="1" t="s">
        <v>22</v>
      </c>
      <c r="B11" s="1" t="s">
        <v>23</v>
      </c>
      <c r="C11" s="1" t="s">
        <v>24</v>
      </c>
      <c r="D11" s="1" t="s">
        <v>25</v>
      </c>
      <c r="E11" s="1" t="s">
        <v>26</v>
      </c>
      <c r="F11" s="1" t="s">
        <v>27</v>
      </c>
    </row>
    <row r="12" spans="1:10">
      <c r="A12" s="2" t="s">
        <v>28</v>
      </c>
      <c r="B12" s="2" t="s">
        <v>29</v>
      </c>
      <c r="C12" s="3">
        <v>125000</v>
      </c>
      <c r="D12" s="3">
        <v>0.12</v>
      </c>
      <c r="E12" s="2" t="s">
        <v>30</v>
      </c>
      <c r="F12" s="2" t="s">
        <v>31</v>
      </c>
    </row>
    <row r="13" spans="1:10">
      <c r="A13" s="2" t="s">
        <v>32</v>
      </c>
      <c r="B13" s="2" t="s">
        <v>33</v>
      </c>
      <c r="C13" s="3">
        <v>85000</v>
      </c>
      <c r="D13" s="3">
        <v>0.25</v>
      </c>
      <c r="E13" s="2" t="s">
        <v>30</v>
      </c>
      <c r="F13" s="2" t="s">
        <v>34</v>
      </c>
    </row>
    <row r="14" spans="1:10">
      <c r="A14" s="2" t="s">
        <v>35</v>
      </c>
      <c r="B14" s="2" t="s">
        <v>36</v>
      </c>
      <c r="C14" s="3">
        <v>18000</v>
      </c>
      <c r="D14" s="3">
        <v>0.55000000000000004</v>
      </c>
      <c r="E14" s="2" t="s">
        <v>37</v>
      </c>
      <c r="F14" s="2" t="s">
        <v>38</v>
      </c>
    </row>
    <row r="15" spans="1:10">
      <c r="A15" s="2" t="s">
        <v>39</v>
      </c>
      <c r="B15" s="2" t="s">
        <v>40</v>
      </c>
      <c r="C15" s="3">
        <v>45000</v>
      </c>
      <c r="D15" s="3">
        <v>0.1</v>
      </c>
      <c r="E15" s="2" t="s">
        <v>37</v>
      </c>
      <c r="F15" s="2" t="s">
        <v>31</v>
      </c>
    </row>
    <row r="16" spans="1:10">
      <c r="A16" s="2" t="s">
        <v>41</v>
      </c>
      <c r="B16" s="2" t="s">
        <v>42</v>
      </c>
      <c r="C16" s="3">
        <v>210000</v>
      </c>
      <c r="D16" s="3">
        <v>0.7</v>
      </c>
      <c r="E16" s="2" t="s">
        <v>30</v>
      </c>
      <c r="F16" s="2" t="s">
        <v>38</v>
      </c>
    </row>
    <row r="17" spans="1:6">
      <c r="A17" s="2" t="s">
        <v>43</v>
      </c>
      <c r="B17" s="2" t="s">
        <v>44</v>
      </c>
      <c r="C17" s="3">
        <v>8500</v>
      </c>
      <c r="D17" s="3">
        <v>0.15</v>
      </c>
      <c r="E17" s="2" t="s">
        <v>45</v>
      </c>
      <c r="F17" s="2" t="s">
        <v>31</v>
      </c>
    </row>
    <row r="18" spans="1:6">
      <c r="A18" s="2" t="s">
        <v>46</v>
      </c>
      <c r="B18" s="2" t="s">
        <v>47</v>
      </c>
      <c r="C18" s="3">
        <v>12000</v>
      </c>
      <c r="D18" s="3">
        <v>0.18</v>
      </c>
      <c r="E18" s="2" t="s">
        <v>45</v>
      </c>
      <c r="F18" s="2" t="s">
        <v>34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Supplier_ABC_XYZ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chadi frague</cp:lastModifiedBy>
  <dcterms:modified xsi:type="dcterms:W3CDTF">2026-10-29T11:43:45Z</dcterms:modified>
</cp:coreProperties>
</file>